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arag\Downloads\"/>
    </mc:Choice>
  </mc:AlternateContent>
  <xr:revisionPtr revIDLastSave="0" documentId="13_ncr:1_{D5C87228-E8AF-46EE-A3BB-06CE2459B766}" xr6:coauthVersionLast="47" xr6:coauthVersionMax="47" xr10:uidLastSave="{00000000-0000-0000-0000-000000000000}"/>
  <bookViews>
    <workbookView xWindow="-108" yWindow="-108" windowWidth="23256" windowHeight="12456" xr2:uid="{1BD7FD03-8C36-4A37-8E63-EF4407DE84EF}"/>
  </bookViews>
  <sheets>
    <sheet name="PESAGEM" sheetId="1" r:id="rId1"/>
  </sheets>
  <definedNames>
    <definedName name="_xlnm._FilterDatabase" localSheetId="0" hidden="1">PESAGEM!$A$5:$J$6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 s="1"/>
  <c r="G6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<sst xmlns="http://schemas.openxmlformats.org/spreadsheetml/2006/main" count="23" uniqueCount="22">
  <si>
    <t xml:space="preserve">(BAG COM SAP + PAPELÃO + PALETE)  </t>
  </si>
  <si>
    <t xml:space="preserve">SOMENTE BAG #4704 COM SAP </t>
  </si>
  <si>
    <t>PALETE</t>
  </si>
  <si>
    <t>TURNO</t>
  </si>
  <si>
    <t>EMBALAG.</t>
  </si>
  <si>
    <t>CP9</t>
  </si>
  <si>
    <t xml:space="preserve">LOTE </t>
  </si>
  <si>
    <t>MATERIAL</t>
  </si>
  <si>
    <t>HC</t>
  </si>
  <si>
    <t>PESO BRUTO</t>
  </si>
  <si>
    <t>UNID</t>
  </si>
  <si>
    <t>BAG + EMBALAGEM</t>
  </si>
  <si>
    <t>UNID.</t>
  </si>
  <si>
    <t>PESO (KG)</t>
  </si>
  <si>
    <t>FORNECEDOR</t>
  </si>
  <si>
    <t>KG</t>
  </si>
  <si>
    <t>PESO LÍQUIDO - 1% (&lt;1089)</t>
  </si>
  <si>
    <t>PESO LÍQUIDO - 0,5% (&lt;1094,5)</t>
  </si>
  <si>
    <t>INÍCIO</t>
  </si>
  <si>
    <t>1) Foi sugerido iniciar pesagens de todos os bags considerando o critério de 1% (&lt;1124,5 kg) na conferência do conjunto completo (bag + palete + papelão). Apenas com esses dados é que conseguiremos avaliar as pesagens sem a influência da variação do palete.
2) Como critério de liberação por parte da Qualidade, continuaremos aprovando a pesagem apenas do bag (bag - embalagem 3,5 kg) seguindo o critério 1% (&lt;1089 kg).</t>
  </si>
  <si>
    <t>24H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</si>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</sst>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7030A0"/>
        <bgColor indexed="64"/>
      </patternFill>
    </fill>
    <fill>
      <patternFill patternType="solid">
        <fgColor rgb="FFDEA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1" fillId="6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7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6" borderId="1" xfId="2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5" borderId="2" xfId="1" applyFont="1" applyFill="1" applyBorder="1" applyAlignment="1">
      <alignment horizontal="center"/>
    </xf>
    <xf numFmtId="0" fontId="2" fillId="5" borderId="3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Ênfase1" xfId="1" builtinId="29"/>
    <cellStyle name="Ênfase3" xfId="2" builtinId="37"/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E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AB674-731F-4F2A-B151-7537819B7063}" name="Tabela1" displayName="Tabela1" ref="A5:J6" totalsRowShown="0" headerRowDxfId="14" dataDxfId="12" headerRowBorderDxfId="13" tableBorderDxfId="11" totalsRowBorderDxfId="10">
  <autoFilter ref="A5:J6" xr:uid="{9A7AB674-731F-4F2A-B151-7537819B7063}"/>
  <tableColumns count="10">
    <tableColumn id="1" xr3:uid="{A5826BB6-5107-441A-A5C8-EEC99BD73FE3}" name="MATERIAL" dataDxfId="9">
      <calculatedColumnFormula array="1">_xlfn.IFS($G$3="#1311","50825434",$G$3="#4704","50737403")</calculatedColumnFormula>
    </tableColumn>
    <tableColumn id="2" xr3:uid="{3503732E-E208-4BAC-953D-AA29A96C984E}" name="HC" dataDxfId="8"/>
    <tableColumn id="3" xr3:uid="{703C3D82-5842-4485-A860-8D3033160576}" name="PESO BRUTO" dataDxfId="7"/>
    <tableColumn id="4" xr3:uid="{D913B979-801B-4F75-8FDF-805A298E75C0}" name="UNID" dataDxfId="6"/>
    <tableColumn id="5" xr3:uid="{4F461489-A92D-4F15-9CE9-D1E68EDC2F89}" name="BAG + EMBALAGEM" dataDxfId="5"/>
    <tableColumn id="6" xr3:uid="{DEFCCD3F-BE88-4CB1-9A58-175E43CCF32F}" name="UNID." dataDxfId="4"/>
    <tableColumn id="7" xr3:uid="{BCBC7B22-9532-46EA-8EE7-B3C125327D69}" name="PESO LÍQUIDO - 1% (&lt;1089)" dataDxfId="3">
      <calculatedColumnFormula>IFERROR(IF(E6&gt;0,E6-3.5,"-"),-3.5)</calculatedColumnFormula>
    </tableColumn>
    <tableColumn id="10" xr3:uid="{A31F12AB-984D-4922-8AA1-D9185D7BBACA}" name="PESO LÍQUIDO - 0,5% (&lt;1094,5)" dataDxfId="2">
      <calculatedColumnFormula>IFERROR(IF(E6&gt;0,E6-3.5,"-"),-3.5)</calculatedColumnFormula>
    </tableColumn>
    <tableColumn id="8" xr3:uid="{24C43E93-27D4-46A0-BC22-6A66338F6E7A}" name="PESO (KG)" dataDxfId="1"/>
    <tableColumn id="9" xr3:uid="{CB31F1CD-DB64-44EB-8158-193CB96DD676}" name="FORNECE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4E45-192D-4C80-A69B-BDA901A695CA}">
  <sheetPr codeName="Planilha1"/>
  <dimension ref="A1:J6"/>
  <sheetViews>
    <sheetView showGridLines="0" tabSelected="1" zoomScale="91" zoomScaleNormal="91" workbookViewId="0">
      <selection activeCell="C11" sqref="C11"/>
    </sheetView>
  </sheetViews>
  <sheetFormatPr defaultRowHeight="13.2" x14ac:dyDescent="0.25"/>
  <cols>
    <col min="1" max="4" width="15.5546875" customWidth="1"/>
    <col min="5" max="5" width="22.44140625" customWidth="1"/>
    <col min="6" max="6" width="15.5546875" customWidth="1"/>
    <col min="7" max="8" width="15.88671875" customWidth="1"/>
    <col min="9" max="10" width="15.5546875" customWidth="1"/>
  </cols>
  <sheetData>
    <row r="1" spans="1:10" ht="94.5" customHeight="1" x14ac:dyDescent="0.25">
      <c r="A1" s="14" t="s">
        <v>19</v>
      </c>
      <c r="B1" s="15"/>
      <c r="C1" s="15"/>
      <c r="D1" s="15"/>
      <c r="E1" s="15"/>
      <c r="F1" s="15"/>
      <c r="G1" s="15"/>
      <c r="H1" s="16"/>
      <c r="I1" t="s">
        <v>21</v>
      </c>
    </row>
    <row r="2" spans="1:10" x14ac:dyDescent="0.25">
      <c r="A2" s="18" t="s">
        <v>0</v>
      </c>
      <c r="B2" s="18"/>
      <c r="C2" s="18"/>
      <c r="D2" s="18"/>
      <c r="E2" s="22" t="s">
        <v>1</v>
      </c>
      <c r="F2" s="23"/>
      <c r="G2" s="23"/>
      <c r="H2" s="24"/>
      <c r="I2" s="19" t="s">
        <v>2</v>
      </c>
      <c r="J2" s="19"/>
    </row>
    <row r="3" spans="1:10" x14ac:dyDescent="0.25">
      <c r="A3" s="1" t="s">
        <v>3</v>
      </c>
      <c r="B3" s="17" t="s">
        <v>20</v>
      </c>
      <c r="C3" s="17"/>
      <c r="D3" s="20" t="s">
        <v>18</v>
      </c>
      <c r="E3" s="21"/>
      <c r="F3" s="20" t="s">
        <v>4</v>
      </c>
      <c r="G3" s="25"/>
      <c r="H3" s="26"/>
      <c r="I3" s="20" t="s">
        <v>5</v>
      </c>
      <c r="J3" s="20"/>
    </row>
    <row r="4" spans="1:10" x14ac:dyDescent="0.25">
      <c r="A4" s="1" t="s">
        <v>6</v>
      </c>
      <c r="B4" s="17"/>
      <c r="C4" s="17"/>
      <c r="D4" s="20"/>
      <c r="E4" s="21"/>
      <c r="F4" s="20"/>
      <c r="G4" s="27"/>
      <c r="H4" s="28"/>
      <c r="I4" s="20"/>
      <c r="J4" s="20"/>
    </row>
    <row r="5" spans="1:10" ht="33.6" customHeight="1" x14ac:dyDescent="0.25">
      <c r="A5" s="8" t="s">
        <v>7</v>
      </c>
      <c r="B5" s="9" t="s">
        <v>8</v>
      </c>
      <c r="C5" s="9" t="s">
        <v>9</v>
      </c>
      <c r="D5" s="9" t="s">
        <v>10</v>
      </c>
      <c r="E5" s="10" t="s">
        <v>11</v>
      </c>
      <c r="F5" s="10" t="s">
        <v>12</v>
      </c>
      <c r="G5" s="11" t="s">
        <v>16</v>
      </c>
      <c r="H5" s="11" t="s">
        <v>17</v>
      </c>
      <c r="I5" s="3" t="s">
        <v>13</v>
      </c>
      <c r="J5" s="4" t="s">
        <v>14</v>
      </c>
    </row>
    <row r="6" spans="1:10" ht="13.2" customHeight="1" x14ac:dyDescent="0.25">
      <c r="A6" s="5" t="e" cm="1">
        <f t="array" ref="A6">_xlfn.IFS($G$3="#1311","50825434",$G$3="#4704","50737403")</f>
        <v>#N/A</v>
      </c>
      <c r="B6" s="12"/>
      <c r="C6" s="13"/>
      <c r="D6" s="12" t="s">
        <v>15</v>
      </c>
      <c r="E6" s="6"/>
      <c r="F6" s="12" t="s">
        <v>15</v>
      </c>
      <c r="G6" s="2" t="str">
        <f t="shared" ref="G6" si="0">IFERROR(IF(E6&gt;0,E6-3.5,"-"),-3.5)</f>
        <v>-</v>
      </c>
      <c r="H6" s="2" t="str">
        <f t="shared" ref="H6" si="1">IFERROR(IF(E6&gt;0,E6-3.5,"-"),-3.5)</f>
        <v>-</v>
      </c>
      <c r="I6" s="6"/>
      <c r="J6" s="7"/>
    </row>
  </sheetData>
  <mergeCells count="11">
    <mergeCell ref="A1:H1"/>
    <mergeCell ref="B4:C4"/>
    <mergeCell ref="A2:D2"/>
    <mergeCell ref="I2:J2"/>
    <mergeCell ref="B3:C3"/>
    <mergeCell ref="D3:D4"/>
    <mergeCell ref="E3:E4"/>
    <mergeCell ref="F3:F4"/>
    <mergeCell ref="I3:J4"/>
    <mergeCell ref="E2:H2"/>
    <mergeCell ref="G3:H4"/>
  </mergeCells>
  <conditionalFormatting sqref="C6">
    <cfRule type="cellIs" dxfId="20" priority="29" operator="greaterThan">
      <formula>124.5</formula>
    </cfRule>
    <cfRule type="cellIs" dxfId="19" priority="30" operator="lessThan">
      <formula>124.5</formula>
    </cfRule>
  </conditionalFormatting>
  <conditionalFormatting sqref="G6">
    <cfRule type="cellIs" dxfId="18" priority="31" operator="lessThan">
      <formula>1089</formula>
    </cfRule>
    <cfRule type="cellIs" dxfId="17" priority="32" operator="between">
      <formula>1089.5</formula>
      <formula>2000</formula>
    </cfRule>
  </conditionalFormatting>
  <conditionalFormatting sqref="H6">
    <cfRule type="cellIs" dxfId="16" priority="21" operator="lessThan">
      <formula>1089</formula>
    </cfRule>
    <cfRule type="cellIs" dxfId="15" priority="22" operator="between">
      <formula>1089.5</formula>
      <formula>2000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&amp;C_x000D_&amp;1#&amp;"Arial"&amp;10&amp;K000000 Internal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PESAGEM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yasmin.santos-cruz-vieira@basf.com</dc:creator>
  <cp:lastModifiedBy>Nova Paraguacu</cp:lastModifiedBy>
  <dcterms:created xsi:type="dcterms:W3CDTF">2025-01-30T13:49:27Z</dcterms:created>
  <dcterms:modified xsi:type="dcterms:W3CDTF">2026-01-31T02:41:25Z</dcterms:modified>
</cp:coreProperties>
</file>